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fcd93f42874b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d37ce3e058f4e01"/>
    <x:sheet xmlns:r="http://schemas.openxmlformats.org/officeDocument/2006/relationships" name="Stories" sheetId="2" r:id="R959189af79864a26"/>
    <x:sheet xmlns:r="http://schemas.openxmlformats.org/officeDocument/2006/relationships" name="Issues" sheetId="3" r:id="R8d5bdc7dc02345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2">
    <x:fill>
      <x:patternFill patternType="none"/>
    </x:fill>
    <x:fill>
      <x:patternFill patternType="gray125"/>
    </x:fill>
  </x:fills>
  <x:borders count="3">
    <x:border/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21">
    <x:xf numFmtId="0" fontId="0" fillId="0" borderId="0" xfId="0"/>
    <x:xf numFmtId="0" fontId="0" borderId="0" xfId="0" applyNumberFormat="1" applyFont="1" applyFill="0" applyBorder="1"/>
    <x:xf numFmtId="0" fontId="1" borderId="0" xfId="0" applyNumberFormat="1" applyFont="1" applyFill="0" applyBorder="1"/>
    <x:xf numFmtId="0" fontId="1" borderId="0" xfId="0" applyNumberFormat="1" applyFont="1" applyFill="0" applyBorder="1" applyAlignment="1">
      <x:alignment horizont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borderId="0" xfId="0" applyNumberFormat="1" applyFont="1" applyFill="0" applyBorder="1"/>
    <x:xf numFmtId="0" fontId="2" borderId="1" xfId="0" applyNumberFormat="1" applyFont="1" applyFill="0" applyBorder="1"/>
    <x:xf numFmtId="0" fontId="0" fillId="0" borderId="1" xfId="0" applyNumberFormat="1" applyFont="1" applyFill="1" applyBorder="1"/>
    <x:xf numFmtId="0" fontId="2" borderId="1" xfId="0" applyNumberFormat="1" applyFont="1" applyFill="0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2" borderId="1" xfId="0" applyNumberFormat="1" applyFont="1" applyFill="0" applyBorder="1" applyAlignment="1">
      <x:alignment horizontal="center" wrapText="1"/>
    </x:xf>
    <x:xf numFmtId="0" fontId="2" borderId="1" xfId="0" applyNumberFormat="1" applyFont="1" applyFill="0" applyBorder="1" applyAlignment="1">
      <x:alignment wrapText="1"/>
    </x:xf>
    <x:xf numFmtId="0" fontId="0" fillId="0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3" borderId="0" xfId="0" applyNumberFormat="1" applyFont="1" applyFill="0" applyBorder="1"/>
    <x:xf numFmtId="0" fontId="3" borderId="0" xfId="0" applyNumberFormat="1" applyFont="1" applyFill="0" applyBorder="1" applyAlignment="1">
      <x:alignment wrapText="1"/>
    </x:xf>
    <x:xf numFmtId="0" fontId="3" borderId="2" xfId="0" applyNumberFormat="1" applyFont="1" applyFill="0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borderId="2" xfId="0" applyNumberFormat="1" applyFont="1" applyFill="0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2efde4b4af4444" /><Relationship Type="http://schemas.openxmlformats.org/officeDocument/2006/relationships/theme" Target="/xl/theme/theme1.xml" Id="Rbca45da14c784418" /><Relationship Type="http://schemas.openxmlformats.org/officeDocument/2006/relationships/sharedStrings" Target="/xl/sharedStrings.xml" Id="R83c45bd330224c0c" /><Relationship Type="http://schemas.openxmlformats.org/officeDocument/2006/relationships/worksheet" Target="/xl/worksheets/sheet1.xml" Id="R8d37ce3e058f4e01" /><Relationship Type="http://schemas.openxmlformats.org/officeDocument/2006/relationships/worksheet" Target="/xl/worksheets/sheet2.xml" Id="R959189af79864a26" /><Relationship Type="http://schemas.openxmlformats.org/officeDocument/2006/relationships/worksheet" Target="/xl/worksheets/sheet3.xml" Id="R8d5bdc7dc02345e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38.66999816894531" hidden="0" customWidth="1"/>
    <x:col min="4" max="4" width="24" hidden="0" customWidth="1"/>
    <x:col min="5" max="5" width="24" hidden="0" customWidth="1"/>
    <x:col min="6" max="6" width="38.66999816894531" hidden="0" customWidth="1"/>
  </x:cols>
  <x:sheetData>
    <x:row r="1">
      <x:c r="A1" s="3" t="str">
        <x:v>Wayback Archive Skill Feature Audit</x:v>
      </x:c>
      <x:c r="B1" s="3" t="str">
        <x:v>Wayback Archive Skill Feature Audit</x:v>
      </x:c>
      <x:c r="C1" s="3" t="str">
        <x:v>Wayback Archive Skill Feature Audit</x:v>
      </x:c>
      <x:c r="D1" s="3" t="str">
        <x:v>Wayback Archive Skill Feature Audit</x:v>
      </x:c>
      <x:c r="E1" s="3" t="str">
        <x:v>Wayback Archive Skill Feature Audit</x:v>
      </x:c>
      <x:c r="F1" s="3" t="str">
        <x:v>Wayback Archive Skill Feature Audit</x:v>
      </x:c>
    </x:row>
    <x:row r="3">
      <x:c r="A3" s="5" t="str">
        <x:v>Generated At</x:v>
      </x:c>
      <x:c r="B3" s="6" t="str">
        <x:v>2026-07-02</x:v>
      </x:c>
      <x:c r="C3" s="6"/>
      <x:c r="D3" s="6"/>
      <x:c r="E3" s="6"/>
    </x:row>
    <x:row r="4">
      <x:c r="A4" s="5" t="str">
        <x:v>Canonical Workbook</x:v>
      </x:c>
      <x:c r="B4" s="6" t="str">
        <x:v>/Users/breno/Documents/code/PROJECTS/HRF_GRANT/freedom-skills/research/wayback-archive-feature-audit.xlsx</x:v>
      </x:c>
      <x:c r="C4" s="6"/>
      <x:c r="D4" s="6"/>
      <x:c r="E4" s="6"/>
    </x:row>
    <x:row r="5">
      <x:c r="A5" s="5" t="str">
        <x:v>Source Skill</x:v>
      </x:c>
      <x:c r="B5" s="6" t="str">
        <x:v>skills/wayback-archive</x:v>
      </x:c>
      <x:c r="C5" s="6"/>
      <x:c r="D5" s="6"/>
      <x:c r="E5" s="6"/>
    </x:row>
    <x:row r="6">
      <x:c r="A6" s="5" t="str">
        <x:v>Objective</x:v>
      </x:c>
      <x:c r="B6" s="6" t="str">
        <x:v>Track every feature, user story, expected behavior, evidence, and current status in one canonical spreadsheet.</x:v>
      </x:c>
      <x:c r="C6" s="6"/>
      <x:c r="D6" s="6"/>
      <x:c r="E6" s="6"/>
    </x:row>
    <x:row r="7">
      <x:c r="A7" s="5" t="str">
        <x:v>Current Loop</x:v>
      </x:c>
      <x:c r="B7" s="6" t="str">
        <x:v>Feature inventory is complete. All identified UX/logistical regressions have been fixed and retested; remaining open items are external Wayback dependency risks.</x:v>
      </x:c>
      <x:c r="C7" s="6"/>
      <x:c r="D7" s="6"/>
      <x:c r="E7" s="6"/>
    </x:row>
    <x:row r="8">
      <x:c r="A8" s="6"/>
      <x:c r="B8" s="6"/>
      <x:c r="C8" s="6"/>
      <x:c r="D8" s="6"/>
      <x:c r="E8" s="6"/>
    </x:row>
    <x:row r="9">
      <x:c r="A9" s="6"/>
      <x:c r="B9" s="6"/>
      <x:c r="C9" s="6"/>
      <x:c r="D9" s="6"/>
      <x:c r="E9" s="6"/>
    </x:row>
    <x:row r="10">
      <x:c r="A10" s="12" t="str">
        <x:v>Status</x:v>
      </x:c>
      <x:c r="B10" s="12" t="str">
        <x:v>Count</x:v>
      </x:c>
      <x:c r="C10" s="6"/>
      <x:c r="D10" s="13" t="str">
        <x:v>Issue Status</x:v>
      </x:c>
      <x:c r="E10" s="13" t="str">
        <x:v>Count</x:v>
      </x:c>
    </x:row>
    <x:row r="11">
      <x:c r="A11" s="14" t="str">
        <x:v>Pass</x:v>
      </x:c>
      <x:c r="B11" s="14" t="n">
        <x:f>COUNTIF(Stories!I2:I32,"Pass")</x:f>
        <x:v>22</x:v>
      </x:c>
      <x:c r="C11" s="6"/>
      <x:c r="D11" s="15" t="str">
        <x:v>Open</x:v>
      </x:c>
      <x:c r="E11" s="15" t="n">
        <x:f>COUNTIF(Issues!C2:C7,"Open")</x:f>
        <x:v>2</x:v>
      </x:c>
    </x:row>
    <x:row r="12">
      <x:c r="A12" s="14" t="str">
        <x:v>Pass - External Risk</x:v>
      </x:c>
      <x:c r="B12" s="14" t="n">
        <x:f>COUNTIF(Stories!I2:I32,"Pass - External Risk")</x:f>
        <x:v>5</x:v>
      </x:c>
      <x:c r="C12" s="6"/>
      <x:c r="D12" s="15" t="str">
        <x:v>Resolved</x:v>
      </x:c>
      <x:c r="E12" s="15" t="n">
        <x:f>COUNTIF(Issues!C2:C7,"Resolved")</x:f>
        <x:v>4</x:v>
      </x:c>
    </x:row>
    <x:row r="13">
      <x:c r="A13" s="14" t="str">
        <x:v>Unit Only</x:v>
      </x:c>
      <x:c r="B13" s="14" t="n">
        <x:f>COUNTIF(Stories!I2:I32,"Unit Only")</x:f>
        <x:v>4</x:v>
      </x:c>
      <x:c r="C13" s="6"/>
      <x:c r="D13" s="15" t="str">
        <x:v>Manual Stories Verified</x:v>
      </x:c>
      <x:c r="E13" s="15" t="n">
        <x:f>COUNTIF(Stories!I2:I32,"Pass")+COUNTIF(Stories!I2:I32,"Pass - External Risk")</x:f>
        <x:v>27</x:v>
      </x:c>
    </x:row>
    <x:row r="14">
      <x:c r="A14" s="14" t="str">
        <x:v>Untested</x:v>
      </x:c>
      <x:c r="B14" s="14" t="n">
        <x:f>COUNTIF(Stories!I2:I32,"Untested")</x:f>
        <x:v>0</x:v>
      </x:c>
      <x:c r="C14" s="6"/>
      <x:c r="D14" s="15" t="str">
        <x:v>Stories Needing More Work</x:v>
      </x:c>
      <x:c r="E14" s="15" t="n">
        <x:f>COUNTIF(Stories!I2:I32,"Untested")+COUNTIF(Stories!I2:I32,"Fail")+COUNTIF(Stories!I2:I32,"Fixed Pending Retest")</x:f>
        <x:v>0</x:v>
      </x:c>
    </x:row>
    <x:row r="15">
      <x:c r="A15" s="14" t="str">
        <x:v>Fail</x:v>
      </x:c>
      <x:c r="B15" s="14" t="n">
        <x:f>COUNTIF(Stories!I2:I32,"Fail")</x:f>
        <x:v>0</x:v>
      </x:c>
      <x:c r="C15" s="6"/>
      <x:c r="D15" s="15" t="str">
        <x:v>Stories Covered by Tests Only</x:v>
      </x:c>
      <x:c r="E15" s="15" t="n">
        <x:f>COUNTIF(Stories!I2:I32,"Unit Only")</x:f>
        <x:v>4</x:v>
      </x:c>
    </x:row>
    <x:row r="16">
      <x:c r="A16" s="14" t="str">
        <x:v>Fixed Pending Retest</x:v>
      </x:c>
      <x:c r="B16" s="14" t="n">
        <x:f>COUNTIF(Stories!I2:I32,"Fixed Pending Retest")</x:f>
        <x:v>0</x:v>
      </x:c>
      <x:c r="C16" s="6"/>
      <x:c r="D16" s="6"/>
      <x:c r="E16" s="6"/>
    </x:row>
    <x:row r="17">
      <x:c r="A17" s="6"/>
      <x:c r="B17" s="6"/>
      <x:c r="C17" s="6"/>
      <x:c r="D17" s="6"/>
      <x:c r="E17" s="6"/>
    </x:row>
    <x:row r="18">
      <x:c r="A18" s="6"/>
      <x:c r="B18" s="6"/>
      <x:c r="C18" s="6"/>
      <x:c r="D18" s="6"/>
      <x:c r="E18" s="6"/>
    </x:row>
    <x:row r="19">
      <x:c r="A19" s="6"/>
      <x:c r="B19" s="6"/>
      <x:c r="C19" s="6"/>
      <x:c r="D19" s="6"/>
      <x:c r="E19" s="6"/>
    </x:row>
    <x:row r="20">
      <x:c r="A20" s="6"/>
      <x:c r="B20" s="6"/>
      <x:c r="C20" s="6"/>
      <x:c r="D20" s="6"/>
      <x:c r="E20" s="6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</x:cols>
  <x:sheetData>
    <x:row r="1">
      <x:c r="A1" s="18" t="str">
        <x:v>Story ID</x:v>
      </x:c>
      <x:c r="B1" s="18" t="str">
        <x:v>Command</x:v>
      </x:c>
      <x:c r="C1" s="18" t="str">
        <x:v>Feature</x:v>
      </x:c>
      <x:c r="D1" s="18" t="str">
        <x:v>User Story</x:v>
      </x:c>
      <x:c r="E1" s="18" t="str">
        <x:v>Expected Behavior</x:v>
      </x:c>
      <x:c r="F1" s="18" t="str">
        <x:v>Code Evidence</x:v>
      </x:c>
      <x:c r="G1" s="18" t="str">
        <x:v>Unit / Test Evidence</x:v>
      </x:c>
      <x:c r="H1" s="18" t="str">
        <x:v>Latest Manual Evidence</x:v>
      </x:c>
      <x:c r="I1" s="18" t="str">
        <x:v>Status</x:v>
      </x:c>
      <x:c r="J1" s="18" t="str">
        <x:v>Notes / Risk</x:v>
      </x:c>
    </x:row>
    <x:row r="2">
      <x:c r="A2" s="19" t="str">
        <x:v>US-001</x:v>
      </x:c>
      <x:c r="B2" s="19" t="str">
        <x:v>save</x:v>
      </x:c>
      <x:c r="C2" s="19" t="str">
        <x:v>Save a single live URL</x:v>
      </x:c>
      <x:c r="D2" s="19" t="str">
        <x:v>As a researcher, I can submit one URL to `save` and receive a structured archived snapshot result.</x:v>
      </x:c>
      <x:c r="E2" s="19" t="str">
        <x:v>Returns JSON with `mode=save`, `archived_url`, `timestamp`, and `source` after direct save or fallback.</x:v>
      </x:c>
      <x:c r="F2" s="19" t="str">
        <x:v>save_url(), save_once()</x:v>
      </x:c>
      <x:c r="G2" s="19" t="str">
        <x:v>test_save_once_uses_final_redirect_url; test_save_url_falls_back_to_availability_api</x:v>
      </x:c>
      <x:c r="H2" s="19" t="str">
        <x:v>UOL article saved on 2026-07-02 with timestamp 20260702061936 via availability_api.</x:v>
      </x:c>
      <x:c r="I2" s="20" t="str">
        <x:v>Pass</x:v>
      </x:c>
      <x:c r="J2" s="19" t="str"/>
    </x:row>
    <x:row r="3">
      <x:c r="A3" s="19" t="str">
        <x:v>US-002</x:v>
      </x:c>
      <x:c r="B3" s="19" t="str">
        <x:v>save</x:v>
      </x:c>
      <x:c r="C3" s="19" t="str">
        <x:v>Accept existing snapshot as success</x:v>
      </x:c>
      <x:c r="D3" s="19" t="str">
        <x:v>As a user who only needs a stable archived URL, I can accept an existing snapshot returned by save fallback.</x:v>
      </x:c>
      <x:c r="E3" s="19" t="str">
        <x:v>If no fresh save redirect is seen but a usable snapshot exists, `save` still returns success JSON.</x:v>
      </x:c>
      <x:c r="F3" s="19" t="str">
        <x:v>save_url() fallback semantics; SKILL.md step 2</x:v>
      </x:c>
      <x:c r="G3" s="19" t="str">
        <x:v>Indirect via save fallback tests</x:v>
      </x:c>
      <x:c r="H3" s="19" t="str">
        <x:v>Wikipedia article returned older snapshot 20260515135826 and was treated as successful archived URL.</x:v>
      </x:c>
      <x:c r="I3" s="20" t="str">
        <x:v>Pass</x:v>
      </x:c>
      <x:c r="J3" s="19" t="str"/>
    </x:row>
    <x:row r="4">
      <x:c r="A4" s="19" t="str">
        <x:v>US-003</x:v>
      </x:c>
      <x:c r="B4" s="19" t="str">
        <x:v>save</x:v>
      </x:c>
      <x:c r="C4" s="19" t="str">
        <x:v>Graceful save failure</x:v>
      </x:c>
      <x:c r="D4" s="19" t="str">
        <x:v>As a user, I get a JSON error instead of a traceback when no snapshot can be obtained.</x:v>
      </x:c>
      <x:c r="E4" s="19" t="str">
        <x:v>Returns JSON `{ error: ... }` with non-zero exit when save cannot obtain any snapshot.</x:v>
      </x:c>
      <x:c r="F4" s="19" t="str">
        <x:v>main(); WaybackArchiveError handling</x:v>
      </x:c>
      <x:c r="G4" s="19" t="str">
        <x:v>No direct unit test</x:v>
      </x:c>
      <x:c r="H4" s="19" t="str">
        <x:v>x.com SamPancher status URL returned `Unable to obtain an archived snapshot...` as JSON.</x:v>
      </x:c>
      <x:c r="I4" s="20" t="str">
        <x:v>Pass</x:v>
      </x:c>
      <x:c r="J4" s="19" t="str"/>
    </x:row>
    <x:row r="5">
      <x:c r="A5" s="19" t="str">
        <x:v>US-004</x:v>
      </x:c>
      <x:c r="B5" s="19" t="str">
        <x:v>available</x:v>
      </x:c>
      <x:c r="C5" s="19" t="str">
        <x:v>Check archive availability</x:v>
      </x:c>
      <x:c r="D5" s="19" t="str">
        <x:v>As a user, I can ask whether a URL is already archived without creating a new save.</x:v>
      </x:c>
      <x:c r="E5" s="19" t="str">
        <x:v>Returns `available: true/false` plus `snapshot` object or null.</x:v>
      </x:c>
      <x:c r="F5" s="19" t="str">
        <x:v>get_available_snapshot(); main available branch</x:v>
      </x:c>
      <x:c r="G5" s="19" t="str">
        <x:v>test_get_available_snapshot_returns_none_when_missing; test_get_available_snapshot_returns_closest_snapshot</x:v>
      </x:c>
      <x:c r="H5" s="19" t="str">
        <x:v>UOL URL returned available=true; x.com URL returned available=false.</x:v>
      </x:c>
      <x:c r="I5" s="20" t="str">
        <x:v>Pass</x:v>
      </x:c>
      <x:c r="J5" s="19" t="str"/>
    </x:row>
    <x:row r="6">
      <x:c r="A6" s="19" t="str">
        <x:v>US-005</x:v>
      </x:c>
      <x:c r="B6" s="19" t="str">
        <x:v>available --timestamp</x:v>
      </x:c>
      <x:c r="C6" s="19" t="str">
        <x:v>Check nearest available snapshot by timestamp</x:v>
      </x:c>
      <x:c r="D6" s="19" t="str">
        <x:v>As a user, I can query availability close to a requested time.</x:v>
      </x:c>
      <x:c r="E6" s="19" t="str">
        <x:v>Passes timestamp through availability API and returns closest snapshot if one is available.</x:v>
      </x:c>
      <x:c r="F6" s="19" t="str">
        <x:v>build_available_url(); main available branch</x:v>
      </x:c>
      <x:c r="G6" s="19" t="str">
        <x:v>Covered indirectly by get_available_snapshot tests</x:v>
      </x:c>
      <x:c r="H6" s="19" t="str">
        <x:v>UOL URL with `--timestamp 20260702061900` returned snapshot `20260702061936`.</x:v>
      </x:c>
      <x:c r="I6" s="20" t="str">
        <x:v>Pass</x:v>
      </x:c>
      <x:c r="J6" s="19" t="str"/>
    </x:row>
    <x:row r="7">
      <x:c r="A7" s="19" t="str">
        <x:v>US-006</x:v>
      </x:c>
      <x:c r="B7" s="19" t="str">
        <x:v>batch-save</x:v>
      </x:c>
      <x:c r="C7" s="19" t="str">
        <x:v>Batch save positional URLs</x:v>
      </x:c>
      <x:c r="D7" s="19" t="str">
        <x:v>As a user, I can submit multiple URLs positionally in one batch run.</x:v>
      </x:c>
      <x:c r="E7" s="19" t="str">
        <x:v>Returns `mode=batch-save`, `total`, and one result/error object per URL.</x:v>
      </x:c>
      <x:c r="F7" s="19" t="str">
        <x:v>batch_save(); parse_args() batch-save</x:v>
      </x:c>
      <x:c r="G7" s="19" t="str">
        <x:v>No direct unit test</x:v>
      </x:c>
      <x:c r="H7" s="19" t="str">
        <x:v>Batch run over example.com + UOL produced one success and one per-URL timeout error without crashing.</x:v>
      </x:c>
      <x:c r="I7" s="20" t="str">
        <x:v>Pass - External Risk</x:v>
      </x:c>
      <x:c r="J7" s="19" t="str">
        <x:v>Network variability can make one URL fail while others succeed.</x:v>
      </x:c>
    </x:row>
    <x:row r="8">
      <x:c r="A8" s="19" t="str">
        <x:v>US-007</x:v>
      </x:c>
      <x:c r="B8" s="19" t="str">
        <x:v>batch-save --input</x:v>
      </x:c>
      <x:c r="C8" s="19" t="str">
        <x:v>Batch save from file</x:v>
      </x:c>
      <x:c r="D8" s="19" t="str">
        <x:v>As a user, I can load URLs from a file instead of only positional args.</x:v>
      </x:c>
      <x:c r="E8" s="19" t="str">
        <x:v>Reads file lines and appends them to the batch URL list.</x:v>
      </x:c>
      <x:c r="F8" s="19" t="str">
        <x:v>read_url_file(); main batch-save branch</x:v>
      </x:c>
      <x:c r="G8" s="19" t="str">
        <x:v>No direct unit test for CLI path</x:v>
      </x:c>
      <x:c r="H8" s="19" t="str">
        <x:v>Manual batch run with `--input tests/fixtures/wayback_archive/urls_with_comments.txt` returned one processed result entry sourced from the file.</x:v>
      </x:c>
      <x:c r="I8" s="20" t="str">
        <x:v>Pass</x:v>
      </x:c>
      <x:c r="J8" s="19" t="str"/>
    </x:row>
    <x:row r="9">
      <x:c r="A9" s="19" t="str">
        <x:v>US-008</x:v>
      </x:c>
      <x:c r="B9" s="19" t="str">
        <x:v>batch-save</x:v>
      </x:c>
      <x:c r="C9" s="19" t="str">
        <x:v>Deduplicate URLs</x:v>
      </x:c>
      <x:c r="D9" s="19" t="str">
        <x:v>As a user, duplicate URLs from args or file are only processed once.</x:v>
      </x:c>
      <x:c r="E9" s="19" t="str">
        <x:v>Deduplicates combined URL list before processing.</x:v>
      </x:c>
      <x:c r="F9" s="19" t="str">
        <x:v>main batch-save branch uses dict.fromkeys()</x:v>
      </x:c>
      <x:c r="G9" s="19" t="str">
        <x:v>No direct unit test</x:v>
      </x:c>
      <x:c r="H9" s="19" t="str">
        <x:v>Manual batch run with duplicate example.com entries in `tests/fixtures/wayback_archive/urls_with_comments.txt` returned `total: 1`.</x:v>
      </x:c>
      <x:c r="I9" s="20" t="str">
        <x:v>Pass</x:v>
      </x:c>
      <x:c r="J9" s="19" t="str"/>
    </x:row>
    <x:row r="10">
      <x:c r="A10" s="19" t="str">
        <x:v>US-009</x:v>
      </x:c>
      <x:c r="B10" s="19" t="str">
        <x:v>batch-save</x:v>
      </x:c>
      <x:c r="C10" s="19" t="str">
        <x:v>Per-URL error isolation</x:v>
      </x:c>
      <x:c r="D10" s="19" t="str">
        <x:v>As a user, one failing URL does not abort the entire batch.</x:v>
      </x:c>
      <x:c r="E10" s="19" t="str">
        <x:v>Each URL is wrapped independently and errors are stored beside successes.</x:v>
      </x:c>
      <x:c r="F10" s="19" t="str">
        <x:v>batch_save()</x:v>
      </x:c>
      <x:c r="G10" s="19" t="str">
        <x:v>No direct unit test</x:v>
      </x:c>
      <x:c r="H10" s="19" t="str">
        <x:v>Batch run preserved success for example.com and error for UOL timeout in same result set.</x:v>
      </x:c>
      <x:c r="I10" s="20" t="str">
        <x:v>Pass</x:v>
      </x:c>
      <x:c r="J10" s="19" t="str"/>
    </x:row>
    <x:row r="11">
      <x:c r="A11" s="19" t="str">
        <x:v>US-010</x:v>
      </x:c>
      <x:c r="B11" s="19" t="str">
        <x:v>batch-save</x:v>
      </x:c>
      <x:c r="C11" s="19" t="str">
        <x:v>Reject empty batch</x:v>
      </x:c>
      <x:c r="D11" s="19" t="str">
        <x:v>As a user, I get a clear error if I invoke batch-save with no URLs and no input file.</x:v>
      </x:c>
      <x:c r="E11" s="19" t="str">
        <x:v>Returns JSON error `batch-save requires at least one URL or --input`.</x:v>
      </x:c>
      <x:c r="F11" s="19" t="str">
        <x:v>main batch-save validation</x:v>
      </x:c>
      <x:c r="G11" s="19" t="str">
        <x:v>No direct unit test</x:v>
      </x:c>
      <x:c r="H11" s="19" t="str">
        <x:v>Manual run with no args returned the expected JSON error.</x:v>
      </x:c>
      <x:c r="I11" s="20" t="str">
        <x:v>Pass</x:v>
      </x:c>
      <x:c r="J11" s="19" t="str"/>
    </x:row>
    <x:row r="12">
      <x:c r="A12" s="19" t="str">
        <x:v>US-011</x:v>
      </x:c>
      <x:c r="B12" s="19" t="str">
        <x:v>read_url_file</x:v>
      </x:c>
      <x:c r="C12" s="19" t="str">
        <x:v>Ignore comments and blank lines</x:v>
      </x:c>
      <x:c r="D12" s="19" t="str">
        <x:v>As a user, I can keep comments and blank lines in my URL file.</x:v>
      </x:c>
      <x:c r="E12" s="19" t="str">
        <x:v>Lines starting with `#` and empty lines are skipped.</x:v>
      </x:c>
      <x:c r="F12" s="19" t="str">
        <x:v>read_url_file()</x:v>
      </x:c>
      <x:c r="G12" s="19" t="str">
        <x:v>test_read_url_file_skips_comments_and_blank_lines</x:v>
      </x:c>
      <x:c r="H12" s="19" t="str">
        <x:v>Manual batch run against `tests/fixtures/wayback_archive/urls_with_comments.txt` processed only one URL, proving comments and blank lines were ignored.</x:v>
      </x:c>
      <x:c r="I12" s="20" t="str">
        <x:v>Pass</x:v>
      </x:c>
      <x:c r="J12" s="19" t="str"/>
    </x:row>
    <x:row r="13">
      <x:c r="A13" s="19" t="str">
        <x:v>US-012</x:v>
      </x:c>
      <x:c r="B13" s="19" t="str">
        <x:v>history</x:v>
      </x:c>
      <x:c r="C13" s="19" t="str">
        <x:v>List snapshot history</x:v>
      </x:c>
      <x:c r="D13" s="19" t="str">
        <x:v>As a user, I can list archived snapshots for one URL.</x:v>
      </x:c>
      <x:c r="E13" s="19" t="str">
        <x:v>Returns `mode=history`, `count`, and `snapshots[]` with CDX-derived fields plus `archived_url`.</x:v>
      </x:c>
      <x:c r="F13" s="19" t="str">
        <x:v>get_history(); parse_cdx_response()</x:v>
      </x:c>
      <x:c r="G13" s="19" t="str">
        <x:v>test_get_history_adds_archived_urls; test_parse_cdx_response_parses_snapshot_rows</x:v>
      </x:c>
      <x:c r="H13" s="19" t="str">
        <x:v>Manual `history http://tc.eserver.org/ --limit 5` returned 5 snapshot rows with digest/status/original/archived_url fields.</x:v>
      </x:c>
      <x:c r="I13" s="20" t="str">
        <x:v>Pass - External Risk</x:v>
      </x:c>
      <x:c r="J13" s="19" t="str">
        <x:v>Dependent on external CDX availability.</x:v>
      </x:c>
    </x:row>
    <x:row r="14">
      <x:c r="A14" s="19" t="str">
        <x:v>US-013</x:v>
      </x:c>
      <x:c r="B14" s="19" t="str">
        <x:v>history --limit/--from-timestamp/--to-timestamp</x:v>
      </x:c>
      <x:c r="C14" s="19" t="str">
        <x:v>Filter or bound history queries</x:v>
      </x:c>
      <x:c r="D14" s="19" t="str">
        <x:v>As a user, I can limit or time-bound history requests.</x:v>
      </x:c>
      <x:c r="E14" s="19" t="str">
        <x:v>Builds CDX URL with `limit`, `from`, and `to` query params.</x:v>
      </x:c>
      <x:c r="F14" s="19" t="str">
        <x:v>build_cdx_url(); get_history()</x:v>
      </x:c>
      <x:c r="G14" s="19" t="str">
        <x:v>No direct unit test of query combinations</x:v>
      </x:c>
      <x:c r="H14" s="19" t="str">
        <x:v>Manual `history https://tc.eserver.org/ --from-timestamp 20181115172501 --to-timestamp 20181115172501` returned the exact 20181115172501 snapshot.</x:v>
      </x:c>
      <x:c r="I14" s="20" t="str">
        <x:v>Pass - External Risk</x:v>
      </x:c>
      <x:c r="J14" s="19" t="str">
        <x:v>Verified manually, but still depends on CDX responsiveness.</x:v>
      </x:c>
    </x:row>
    <x:row r="15">
      <x:c r="A15" s="19" t="str">
        <x:v>US-014</x:v>
      </x:c>
      <x:c r="B15" s="19" t="str">
        <x:v>history</x:v>
      </x:c>
      <x:c r="C15" s="19" t="str">
        <x:v>Retry transient CDX failures</x:v>
      </x:c>
      <x:c r="D15" s="19" t="str">
        <x:v>As a user, transient CDX 5xx or timeout failures are retried automatically.</x:v>
      </x:c>
      <x:c r="E15" s="19" t="str">
        <x:v>Retries up to 3 attempts with 2s, then 4s backoff before failing.</x:v>
      </x:c>
      <x:c r="F15" s="19" t="str">
        <x:v>get_history(); is_retryable_cdx_error()</x:v>
      </x:c>
      <x:c r="G15" s="19" t="str">
        <x:v>test_get_history_retries_retryable_cdx_errors</x:v>
      </x:c>
      <x:c r="H15" s="19" t="str">
        <x:v>Observed in practice that compare/history sometimes recover after retries on tc.eserver.</x:v>
      </x:c>
      <x:c r="I15" s="20" t="str">
        <x:v>Pass - External Risk</x:v>
      </x:c>
      <x:c r="J15" s="19" t="str">
        <x:v>Still external dependency; retries reduce but do not eliminate failures.</x:v>
      </x:c>
    </x:row>
    <x:row r="16">
      <x:c r="A16" s="19" t="str">
        <x:v>US-015</x:v>
      </x:c>
      <x:c r="B16" s="19" t="str">
        <x:v>history</x:v>
      </x:c>
      <x:c r="C16" s="19" t="str">
        <x:v>Actionable exhausted CDX error</x:v>
      </x:c>
      <x:c r="D16" s="19" t="str">
        <x:v>As a user, I get a clear CDX unavailable error after retries are exhausted.</x:v>
      </x:c>
      <x:c r="E16" s="19" t="str">
        <x:v>Returns JSON error naming CDX endpoint unavailability after N attempts.</x:v>
      </x:c>
      <x:c r="F16" s="19" t="str">
        <x:v>get_history() error message</x:v>
      </x:c>
      <x:c r="G16" s="19" t="str">
        <x:v>Indirect through compare error tests</x:v>
      </x:c>
      <x:c r="H16" s="19" t="str">
        <x:v>Manual `history http://tc.eserver.org/` returned `CDX endpoint unavailable after 3 attempt(s): HTTP Error 503`.</x:v>
      </x:c>
      <x:c r="I16" s="20" t="str">
        <x:v>Pass</x:v>
      </x:c>
      <x:c r="J16" s="19" t="str"/>
    </x:row>
    <x:row r="17">
      <x:c r="A17" s="19" t="str">
        <x:v>US-016</x:v>
      </x:c>
      <x:c r="B17" s="19" t="str">
        <x:v>nearest</x:v>
      </x:c>
      <x:c r="C17" s="19" t="str">
        <x:v>Nearest snapshot lookup</x:v>
      </x:c>
      <x:c r="D17" s="19" t="str">
        <x:v>As a user, I can request the snapshot closest to a specific timestamp.</x:v>
      </x:c>
      <x:c r="E17" s="19" t="str">
        <x:v>Returns `mode=nearest` and a `snapshot` with `requested_timestamp`, `timestamp`, `source`, and archived URL.</x:v>
      </x:c>
      <x:c r="F17" s="19" t="str">
        <x:v>get_nearest_snapshot(); main nearest branch</x:v>
      </x:c>
      <x:c r="G17" s="19" t="str">
        <x:v>test_get_nearest_snapshot_uses_requested_timestamp</x:v>
      </x:c>
      <x:c r="H17" s="19" t="str">
        <x:v>UOL URL with timestamp 20260702061900 returned 20260702061936 via availability_api.</x:v>
      </x:c>
      <x:c r="I17" s="20" t="str">
        <x:v>Pass</x:v>
      </x:c>
      <x:c r="J17" s="19" t="str"/>
    </x:row>
    <x:row r="18">
      <x:c r="A18" s="19" t="str">
        <x:v>US-017</x:v>
      </x:c>
      <x:c r="B18" s="19" t="str">
        <x:v>at</x:v>
      </x:c>
      <x:c r="C18" s="19" t="str">
        <x:v>Alias for nearest</x:v>
      </x:c>
      <x:c r="D18" s="19" t="str">
        <x:v>As a user, `at` behaves the same as `nearest`.</x:v>
      </x:c>
      <x:c r="E18" s="19" t="str">
        <x:v>CLI alias emits the same nearest snapshot shape.</x:v>
      </x:c>
      <x:c r="F18" s="19" t="str">
        <x:v>parse_args() alias; main nearest/at branch</x:v>
      </x:c>
      <x:c r="G18" s="19" t="str">
        <x:v>No direct unit test</x:v>
      </x:c>
      <x:c r="H18" s="19" t="str">
        <x:v>Manual `at` run on UOL returned same nearest snapshot JSON.</x:v>
      </x:c>
      <x:c r="I18" s="20" t="str">
        <x:v>Pass</x:v>
      </x:c>
      <x:c r="J18" s="19" t="str"/>
    </x:row>
    <x:row r="19">
      <x:c r="A19" s="19" t="str">
        <x:v>US-018</x:v>
      </x:c>
      <x:c r="B19" s="19" t="str">
        <x:v>nearest</x:v>
      </x:c>
      <x:c r="C19" s="19" t="str">
        <x:v>CDX fallback for nearest</x:v>
      </x:c>
      <x:c r="D19" s="19" t="str">
        <x:v>As a user, if availability lookup cannot resolve a nearest snapshot, the wrapper falls back to CDX-based lookup.</x:v>
      </x:c>
      <x:c r="E19" s="19" t="str">
        <x:v>When availability misses, nearest first tries an exact CDX timestamp lookup and then falls back to broader CDX history, labeling `source=cdx_api`.</x:v>
      </x:c>
      <x:c r="F19" s="19" t="str">
        <x:v>get_nearest_snapshot(); get_exact_snapshot_from_cdx()</x:v>
      </x:c>
      <x:c r="G19" s="19" t="str">
        <x:v>test_get_nearest_snapshot_falls_back_to_cdx_history; test_get_nearest_snapshot_prefers_exact_cdx_match_before_full_history</x:v>
      </x:c>
      <x:c r="H19" s="19" t="str">
        <x:v>tc.eserver explicit timestamp lookups now resolve via exact CDX rows even when availability is false or collapsed.</x:v>
      </x:c>
      <x:c r="I19" s="20" t="str">
        <x:v>Pass</x:v>
      </x:c>
      <x:c r="J19" s="19" t="str"/>
    </x:row>
    <x:row r="20">
      <x:c r="A20" s="19" t="str">
        <x:v>US-019</x:v>
      </x:c>
      <x:c r="B20" s="19" t="str">
        <x:v>compare</x:v>
      </x:c>
      <x:c r="C20" s="19" t="str">
        <x:v>Auto-select two snapshots</x:v>
      </x:c>
      <x:c r="D20" s="19" t="str">
        <x:v>As a user, I can ask the wrapper to auto-select two archived versions of the same URL for comparison.</x:v>
      </x:c>
      <x:c r="E20" s="19" t="str">
        <x:v>Returns `comparison_mode=latest_different_digest`, `changes_url`, `history_count`, and two snapshot objects when CDX history is responsive.</x:v>
      </x:c>
      <x:c r="F20" s="19" t="str">
        <x:v>compare_snapshots(); choose_compare_pair()</x:v>
      </x:c>
      <x:c r="G20" s="19" t="str">
        <x:v>test_compare_snapshots_uses_history_when_timestamps_not_supplied; test_choose_compare_pair_prefers_latest_different_digest</x:v>
      </x:c>
      <x:c r="H20" s="19" t="str">
        <x:v>tc.eserver auto-compare eventually returned `history_count=683` and distinct left/right snapshots.</x:v>
      </x:c>
      <x:c r="I20" s="20" t="str">
        <x:v>Pass - External Risk</x:v>
      </x:c>
      <x:c r="J20" s="19" t="str">
        <x:v>Auto mode still depends on CDX responsiveness.</x:v>
      </x:c>
    </x:row>
    <x:row r="21">
      <x:c r="A21" s="19" t="str">
        <x:v>US-020</x:v>
      </x:c>
      <x:c r="B21" s="19" t="str">
        <x:v>compare</x:v>
      </x:c>
      <x:c r="C21" s="19" t="str">
        <x:v>Actionable auto-compare failure</x:v>
      </x:c>
      <x:c r="D21" s="19" t="str">
        <x:v>As a user, if auto-compare cannot read history, I am told what to do next.</x:v>
      </x:c>
      <x:c r="E21" s="19" t="str">
        <x:v>Returns error suggesting retry later or rerun compare with explicit timestamps.</x:v>
      </x:c>
      <x:c r="F21" s="19" t="str">
        <x:v>compare_snapshots() auto-selection error path</x:v>
      </x:c>
      <x:c r="G21" s="19" t="str">
        <x:v>test_compare_snapshots_auto_selection_surfaces_actionable_error</x:v>
      </x:c>
      <x:c r="H21" s="19" t="str">
        <x:v>Manual tc.eserver auto compare with `--timeout 10` returned actionable guidance mentioning `--from-timestamp` and `--to-timestamp`.</x:v>
      </x:c>
      <x:c r="I21" s="20" t="str">
        <x:v>Pass</x:v>
      </x:c>
      <x:c r="J21" s="19" t="str"/>
    </x:row>
    <x:row r="22">
      <x:c r="A22" s="19" t="str">
        <x:v>US-021</x:v>
      </x:c>
      <x:c r="B22" s="19" t="str">
        <x:v>compare --from-timestamp --to-timestamp</x:v>
      </x:c>
      <x:c r="C22" s="19" t="str">
        <x:v>Explicit timestamp comparison</x:v>
      </x:c>
      <x:c r="D22" s="19" t="str">
        <x:v>As a user, I can compare the snapshots nearest two explicit requested times.</x:v>
      </x:c>
      <x:c r="E22" s="19" t="str">
        <x:v>Returns `comparison_mode=nearest_to_requested_timestamps` and `left`/`right` snapshots.</x:v>
      </x:c>
      <x:c r="F22" s="19" t="str">
        <x:v>compare_snapshots() explicit branch</x:v>
      </x:c>
      <x:c r="G22" s="19" t="str">
        <x:v>test_compare_snapshots_uses_nearest_when_both_timestamps_supplied; test_compare_snapshots_uses_variant_and_exact_cdx_for_explicit_timestamps</x:v>
      </x:c>
      <x:c r="H22" s="19" t="str">
        <x:v>tc.eserver explicit compare returned left 20180427130634 and right 20181115172501 after probing scheme variants and exact CDX rows.</x:v>
      </x:c>
      <x:c r="I22" s="20" t="str">
        <x:v>Pass</x:v>
      </x:c>
      <x:c r="J22" s="19" t="str"/>
    </x:row>
    <x:row r="23">
      <x:c r="A23" s="19" t="str">
        <x:v>US-022</x:v>
      </x:c>
      <x:c r="B23" s="19" t="str">
        <x:v>compare --from-timestamp --to-timestamp</x:v>
      </x:c>
      <x:c r="C23" s="19" t="str">
        <x:v>Disambiguate collapsed availability results</x:v>
      </x:c>
      <x:c r="D23" s="19" t="str">
        <x:v>As a user, if availability collapses both requested times to the same snapshot, the wrapper retries both sides via CDX before accepting the result.</x:v>
      </x:c>
      <x:c r="E23" s="19" t="str">
        <x:v>When timestamps differ but snapshots collide, wrapper re-resolves via CDX and only returns success if left/right are truly distinct.</x:v>
      </x:c>
      <x:c r="F23" s="19" t="str">
        <x:v>resolve_compare_pair()</x:v>
      </x:c>
      <x:c r="G23" s="19" t="str">
        <x:v>test_resolve_compare_pair_retries_via_cdx_when_availability_collapses</x:v>
      </x:c>
      <x:c r="H23" s="19" t="str">
        <x:v>tc.eserver explicit compare originally collapsed; after fix it re-resolved to distinct 20180427130634 and 20181115172501 snapshots.</x:v>
      </x:c>
      <x:c r="I23" s="20" t="str">
        <x:v>Pass</x:v>
      </x:c>
      <x:c r="J23" s="19" t="str"/>
    </x:row>
    <x:row r="24">
      <x:c r="A24" s="19" t="str">
        <x:v>US-023</x:v>
      </x:c>
      <x:c r="B24" s="19" t="str">
        <x:v>compare --from-timestamp --to-timestamp</x:v>
      </x:c>
      <x:c r="C24" s="19" t="str">
        <x:v>Reject same-snapshot compare after disambiguation</x:v>
      </x:c>
      <x:c r="D24" s="19" t="str">
        <x:v>As a user, I do not get a misleading compare result if both requested times still map to the same snapshot.</x:v>
      </x:c>
      <x:c r="E24" s="19" t="str">
        <x:v>Raises a clear error telling the user the two requested timestamps resolved to the same snapshot.</x:v>
      </x:c>
      <x:c r="F24" s="19" t="str">
        <x:v>resolve_compare_pair() same-snapshot guard</x:v>
      </x:c>
      <x:c r="G24" s="19" t="str">
        <x:v>test_resolve_compare_pair_raises_when_both_timestamps_still_collapse</x:v>
      </x:c>
      <x:c r="H24" s="19" t="str">
        <x:v>Covered by automated test that forces both timestamps to remain collapsed after CDX retry.</x:v>
      </x:c>
      <x:c r="I24" s="20" t="str">
        <x:v>Unit Only</x:v>
      </x:c>
      <x:c r="J24" s="19" t="str"/>
    </x:row>
    <x:row r="25">
      <x:c r="A25" s="19" t="str">
        <x:v>US-024</x:v>
      </x:c>
      <x:c r="B25" s="19" t="str">
        <x:v>compare --from-timestamp --to-timestamp</x:v>
      </x:c>
      <x:c r="C25" s="19" t="str">
        <x:v>Explain CDX disambiguation failure</x:v>
      </x:c>
      <x:c r="D25" s="19" t="str">
        <x:v>As a user, if availability collapses and CDX fallback also fails, I get a targeted error.</x:v>
      </x:c>
      <x:c r="E25" s="19" t="str">
        <x:v>Raises error explaining that availability collapsed both timestamps and CDX could not disambiguate them.</x:v>
      </x:c>
      <x:c r="F25" s="19" t="str">
        <x:v>resolve_compare_pair() CDX fallback error path</x:v>
      </x:c>
      <x:c r="G25" s="19" t="str">
        <x:v>test_resolve_compare_pair_surfaces_cdx_disambiguation_failure</x:v>
      </x:c>
      <x:c r="H25" s="19" t="str">
        <x:v>Covered by automated test that forces CDX disambiguation failure after collapsed availability results.</x:v>
      </x:c>
      <x:c r="I25" s="20" t="str">
        <x:v>Unit Only</x:v>
      </x:c>
      <x:c r="J25" s="19" t="str"/>
    </x:row>
    <x:row r="26">
      <x:c r="A26" s="19" t="str">
        <x:v>US-025</x:v>
      </x:c>
      <x:c r="B26" s="19" t="str">
        <x:v>compare</x:v>
      </x:c>
      <x:c r="C26" s="19" t="str">
        <x:v>Return changes URL</x:v>
      </x:c>
      <x:c r="D26" s="19" t="str">
        <x:v>As a user, compare results include a direct Wayback changes UI URL.</x:v>
      </x:c>
      <x:c r="E26" s="19" t="str">
        <x:v>Every successful compare returns `changes_url`.</x:v>
      </x:c>
      <x:c r="F26" s="19" t="str">
        <x:v>build_changes_url(); compare_snapshots()</x:v>
      </x:c>
      <x:c r="G26" s="19" t="str">
        <x:v>Covered by compare tests</x:v>
      </x:c>
      <x:c r="H26" s="19" t="str">
        <x:v>Seen in tc.eserver auto and explicit compare outputs.</x:v>
      </x:c>
      <x:c r="I26" s="20" t="str">
        <x:v>Pass</x:v>
      </x:c>
      <x:c r="J26" s="19" t="str"/>
    </x:row>
    <x:row r="27">
      <x:c r="A27" s="19" t="str">
        <x:v>US-026</x:v>
      </x:c>
      <x:c r="B27" s="19" t="str">
        <x:v>save</x:v>
      </x:c>
      <x:c r="C27" s="19" t="str">
        <x:v>Handle save redirect Location header</x:v>
      </x:c>
      <x:c r="D27" s="19" t="str">
        <x:v>As a user, save succeeds even if the archive response is surfaced through an HTTP error with `Location`.</x:v>
      </x:c>
      <x:c r="E27" s="19" t="str">
        <x:v>Treats HTTP error with Wayback Location as success and extracts timestamp.</x:v>
      </x:c>
      <x:c r="F27" s="19" t="str">
        <x:v>save_once()</x:v>
      </x:c>
      <x:c r="G27" s="19" t="str">
        <x:v>test_save_once_uses_http_error_location_header</x:v>
      </x:c>
      <x:c r="H27" s="19" t="str">
        <x:v>Covered by automated test that simulates an HTTP error carrying a Wayback `Location` header.</x:v>
      </x:c>
      <x:c r="I27" s="20" t="str">
        <x:v>Unit Only</x:v>
      </x:c>
      <x:c r="J27" s="19" t="str"/>
    </x:row>
    <x:row r="28">
      <x:c r="A28" s="19" t="str">
        <x:v>US-027</x:v>
      </x:c>
      <x:c r="B28" s="19" t="str">
        <x:v>save</x:v>
      </x:c>
      <x:c r="C28" s="19" t="str">
        <x:v>Handle direct save redirect success</x:v>
      </x:c>
      <x:c r="D28" s="19" t="str">
        <x:v>As a user, save succeeds when the archive endpoint returns a final redirect URL directly.</x:v>
      </x:c>
      <x:c r="E28" s="19" t="str">
        <x:v>Direct redirected archive URL is treated as success.</x:v>
      </x:c>
      <x:c r="F28" s="19" t="str">
        <x:v>save_once()</x:v>
      </x:c>
      <x:c r="G28" s="19" t="str">
        <x:v>test_save_once_uses_final_redirect_url</x:v>
      </x:c>
      <x:c r="H28" s="19" t="str">
        <x:v>Covered by automated test that simulates a direct save redirect response.</x:v>
      </x:c>
      <x:c r="I28" s="20" t="str">
        <x:v>Unit Only</x:v>
      </x:c>
      <x:c r="J28" s="19" t="str"/>
    </x:row>
    <x:row r="29">
      <x:c r="A29" s="19" t="str">
        <x:v>US-028</x:v>
      </x:c>
      <x:c r="B29" s="19" t="str">
        <x:v>CLI/JSON</x:v>
      </x:c>
      <x:c r="C29" s="19" t="str">
        <x:v>Structured JSON responses</x:v>
      </x:c>
      <x:c r="D29" s="19" t="str">
        <x:v>As a user, each command returns structured JSON rather than prose.</x:v>
      </x:c>
      <x:c r="E29" s="19" t="str">
        <x:v>Success responses include `mode`; failures include `{ error: ... }` via top-level exception handler.</x:v>
      </x:c>
      <x:c r="F29" s="19" t="str">
        <x:v>json_dump(); main()</x:v>
      </x:c>
      <x:c r="G29" s="19" t="str">
        <x:v>Covered indirectly across all unit tests</x:v>
      </x:c>
      <x:c r="H29" s="19" t="str">
        <x:v>Observed manually across save/available/batch-save/nearest/compare/history failure outputs, including newly validated input errors.</x:v>
      </x:c>
      <x:c r="I29" s="20" t="str">
        <x:v>Pass</x:v>
      </x:c>
      <x:c r="J29" s="19" t="str"/>
    </x:row>
    <x:row r="30">
      <x:c r="A30" s="19" t="str">
        <x:v>US-029</x:v>
      </x:c>
      <x:c r="B30" s="19" t="str">
        <x:v>available/history/nearest/compare</x:v>
      </x:c>
      <x:c r="C30" s="19" t="str">
        <x:v>Reject malformed timestamp input</x:v>
      </x:c>
      <x:c r="D30" s="19" t="str">
        <x:v>As a user, malformed timestamp values are rejected locally with a clear JSON error instead of causing a traceback or ambiguous network behavior.</x:v>
      </x:c>
      <x:c r="E30" s="19" t="str">
        <x:v>Commands that accept timestamp flags return `{ error: ... }` when given a non-14-digit or impossible calendar timestamp.</x:v>
      </x:c>
      <x:c r="F30" s="19" t="str">
        <x:v>validate_wayback_timestamp(); main() validation branches</x:v>
      </x:c>
      <x:c r="G30" s="19" t="str">
        <x:v>test_validate_wayback_timestamp_rejects_non_14_digit_input; test_validate_wayback_timestamp_rejects_impossible_calendar_values</x:v>
      </x:c>
      <x:c r="H30" s="19" t="str">
        <x:v>Manual `nearest https://example.com --timestamp nope`, `available https://example.com --timestamp nope`, and `history https://example.com --from-timestamp nope` each returned structured JSON errors.</x:v>
      </x:c>
      <x:c r="I30" s="20" t="str">
        <x:v>Pass</x:v>
      </x:c>
      <x:c r="J30" s="19" t="str"/>
    </x:row>
    <x:row r="31">
      <x:c r="A31" s="19" t="str">
        <x:v>US-030</x:v>
      </x:c>
      <x:c r="B31" s="19" t="str">
        <x:v>compare</x:v>
      </x:c>
      <x:c r="C31" s="19" t="str">
        <x:v>Reject partial explicit compare arguments</x:v>
      </x:c>
      <x:c r="D31" s="19" t="str">
        <x:v>As a user, I cannot accidentally request explicit compare mode with only one timestamp argument.</x:v>
      </x:c>
      <x:c r="E31" s="19" t="str">
        <x:v>Returns JSON error requiring both `--from-timestamp` and `--to-timestamp` together, or neither.</x:v>
      </x:c>
      <x:c r="F31" s="19" t="str">
        <x:v>main() compare argument validation</x:v>
      </x:c>
      <x:c r="G31" s="19" t="str">
        <x:v>test_main_compare_requires_both_explicit_timestamps</x:v>
      </x:c>
      <x:c r="H31" s="19" t="str">
        <x:v>Manual `compare https://example.com --from-timestamp 20260101120000` returned the expected structured JSON error.</x:v>
      </x:c>
      <x:c r="I31" s="20" t="str">
        <x:v>Pass</x:v>
      </x:c>
      <x:c r="J31" s="19" t="str"/>
    </x:row>
    <x:row r="32">
      <x:c r="A32" s="19" t="str">
        <x:v>US-031</x:v>
      </x:c>
      <x:c r="B32" s="19" t="str">
        <x:v>batch-save --input</x:v>
      </x:c>
      <x:c r="C32" s="19" t="str">
        <x:v>Handle missing input file gracefully</x:v>
      </x:c>
      <x:c r="D32" s="19" t="str">
        <x:v>As a user, a missing batch input file returns a structured JSON error instead of a Python traceback.</x:v>
      </x:c>
      <x:c r="E32" s="19" t="str">
        <x:v>Returns `{ error: ... }` when the input file cannot be read.</x:v>
      </x:c>
      <x:c r="F32" s="19" t="str">
        <x:v>read_url_file(); main() batch-save branch</x:v>
      </x:c>
      <x:c r="G32" s="19" t="str">
        <x:v>test_read_url_file_raises_structured_error_for_missing_file</x:v>
      </x:c>
      <x:c r="H32" s="19" t="str">
        <x:v>Manual `batch-save --input /Users/breno/Documents/code/PROJECTS/HRF_GRANT/freedom-skills/tmp/wayback_archive_comment_file.txt` returned a structured JSON error after the UX fix.</x:v>
      </x:c>
      <x:c r="I32" s="20" t="str">
        <x:v>Pass</x:v>
      </x:c>
      <x:c r="J32" s="19" t="str"/>
    </x:row>
  </x:sheetData>
  <x:dataValidations count="1">
    <x:dataValidation type="list" sqref="I2:I32">
      <x:formula1>"Pass,Pass - External Risk,Unit Only,Untested,Fail,Fixed Pending Retest"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329999923706055" hidden="0" customWidth="1"/>
    <x:col min="2" max="2" width="19.219999313354492" hidden="0" customWidth="1"/>
    <x:col min="3" max="3" width="7.21999979019165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</x:cols>
  <x:sheetData>
    <x:row r="1">
      <x:c r="A1" s="18" t="str">
        <x:v>Issue ID</x:v>
      </x:c>
      <x:c r="B1" s="18" t="str">
        <x:v>Category</x:v>
      </x:c>
      <x:c r="C1" s="18" t="str">
        <x:v>State</x:v>
      </x:c>
      <x:c r="D1" s="18" t="str">
        <x:v>Problem</x:v>
      </x:c>
      <x:c r="E1" s="18" t="str">
        <x:v>Affected Stories</x:v>
      </x:c>
      <x:c r="F1" s="18" t="str">
        <x:v>Current Mitigation / Fix</x:v>
      </x:c>
      <x:c r="G1" s="18" t="str">
        <x:v>Evidence</x:v>
      </x:c>
    </x:row>
    <x:row r="2">
      <x:c r="A2" s="19" t="str">
        <x:v>ISS-001</x:v>
      </x:c>
      <x:c r="B2" s="19" t="str">
        <x:v>External dependency</x:v>
      </x:c>
      <x:c r="C2" s="19" t="str">
        <x:v>Open</x:v>
      </x:c>
      <x:c r="D2" s="19" t="str">
        <x:v>CDX endpoint intermittently returns 503, timeout, or connection reset errors.</x:v>
      </x:c>
      <x:c r="E2" s="19" t="str">
        <x:v>US-012, US-013, US-014, US-015, US-019, US-020, US-022, US-024</x:v>
      </x:c>
      <x:c r="F2" s="19" t="str">
        <x:v>Retries + actionable JSON errors implemented; still depends on Wayback CDX availability.</x:v>
      </x:c>
      <x:c r="G2" s="19" t="str">
        <x:v>Manual history/compare auto runs on tc.eserver and Wikipedia; resolved only partially because dependency is external.</x:v>
      </x:c>
    </x:row>
    <x:row r="3">
      <x:c r="A3" s="19" t="str">
        <x:v>ISS-002</x:v>
      </x:c>
      <x:c r="B3" s="19" t="str">
        <x:v>Operational risk</x:v>
      </x:c>
      <x:c r="C3" s="19" t="str">
        <x:v>Open</x:v>
      </x:c>
      <x:c r="D3" s="19" t="str">
        <x:v>Batch-save can mix successful and timed-out URLs in the same run because each URL has independent network behavior.</x:v>
      </x:c>
      <x:c r="E3" s="19" t="str">
        <x:v>US-006, US-009</x:v>
      </x:c>
      <x:c r="F3" s="19" t="str">
        <x:v>Current behavior preserves per-URL result/error instead of aborting batch.</x:v>
      </x:c>
      <x:c r="G3" s="19" t="str">
        <x:v>Manual batch run: example.com succeeded while UOL timed out.</x:v>
      </x:c>
    </x:row>
    <x:row r="4">
      <x:c r="A4" s="19" t="str">
        <x:v>ISS-003</x:v>
      </x:c>
      <x:c r="B4" s="19" t="str">
        <x:v>Documentation mismatch</x:v>
      </x:c>
      <x:c r="C4" s="19" t="str">
        <x:v>Resolved</x:v>
      </x:c>
      <x:c r="D4" s="19" t="str">
        <x:v>Skill docs originally implied auto compare was reliable without timestamps.</x:v>
      </x:c>
      <x:c r="E4" s="19" t="str">
        <x:v>US-019, US-020, US-021</x:v>
      </x:c>
      <x:c r="F4" s="19" t="str">
        <x:v>SKILL.md now marks auto compare as best-effort and recommends explicit timestamps.</x:v>
      </x:c>
      <x:c r="G4" s="19" t="str">
        <x:v>Fixed in current branch during this audit.</x:v>
      </x:c>
    </x:row>
    <x:row r="5">
      <x:c r="A5" s="19" t="str">
        <x:v>ISS-004</x:v>
      </x:c>
      <x:c r="B5" s="19" t="str">
        <x:v>Logic bug</x:v>
      </x:c>
      <x:c r="C5" s="19" t="str">
        <x:v>Resolved</x:v>
      </x:c>
      <x:c r="D5" s="19" t="str">
        <x:v>Explicit compare could return the same snapshot for two different requested timestamps when availability collapsed both sides or returned nothing for one scheme.</x:v>
      </x:c>
      <x:c r="E5" s="19" t="str">
        <x:v>US-018, US-021, US-022, US-023</x:v>
      </x:c>
      <x:c r="F5" s="19" t="str">
        <x:v>Wrapper now probes `http`/`https`, retries both sides via exact CDX lookup, and errors if the result still collapses.</x:v>
      </x:c>
      <x:c r="G5" s="19" t="str">
        <x:v>Reproduced and fixed using tc.eserver explicit compare story.</x:v>
      </x:c>
    </x:row>
    <x:row r="6">
      <x:c r="A6" s="19" t="str">
        <x:v>ISS-005</x:v>
      </x:c>
      <x:c r="B6" s="19" t="str">
        <x:v>Error quality</x:v>
      </x:c>
      <x:c r="C6" s="19" t="str">
        <x:v>Resolved</x:v>
      </x:c>
      <x:c r="D6" s="19" t="str">
        <x:v>CDX failures previously surfaced as raw transport failures or tracebacks, especially after availability misses.</x:v>
      </x:c>
      <x:c r="E6" s="19" t="str">
        <x:v>US-015, US-020, US-024</x:v>
      </x:c>
      <x:c r="F6" s="19" t="str">
        <x:v>Wrapper now retries and returns clearer guidance on next steps; explicit compare avoids unnecessary full-history fetches when an exact CDX row exists.</x:v>
      </x:c>
      <x:c r="G6" s="19" t="str">
        <x:v>Fixed in current branch during this audit.</x:v>
      </x:c>
    </x:row>
    <x:row r="7">
      <x:c r="A7" s="19" t="str">
        <x:v>ISS-006</x:v>
      </x:c>
      <x:c r="B7" s="19" t="str">
        <x:v>UX validation bug</x:v>
      </x:c>
      <x:c r="C7" s="19" t="str">
        <x:v>Resolved</x:v>
      </x:c>
      <x:c r="D7" s="19" t="str">
        <x:v>Malformed timestamps, missing batch input files, and partial explicit compare arguments previously produced tracebacks or silently triggered the wrong mode.</x:v>
      </x:c>
      <x:c r="E7" s="19" t="str">
        <x:v>US-028, US-029, US-030, US-031</x:v>
      </x:c>
      <x:c r="F7" s="19" t="str">
        <x:v>The wrapper now validates timestamp syntax, requires compare timestamps as a pair, and converts unreadable input files into structured JSON errors.</x:v>
      </x:c>
      <x:c r="G7" s="19" t="str">
        <x:v>Reproduced manually, fixed in code, and retested through CLI and unit coverage.</x:v>
      </x:c>
    </x:row>
  </x:sheetData>
  <x:pageMargins left="0.7" right="0.7" top="0.75" bottom="0.75" header="0.3" footer="0.3"/>
</x:worksheet>
</file>